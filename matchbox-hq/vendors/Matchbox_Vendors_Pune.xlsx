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 Vendors" sheetId="1" state="visible" r:id="rId1"/>
    <sheet name="Call Script" sheetId="2" state="visible" r:id="rId2"/>
    <sheet name="Pune Box Printers" sheetId="3" state="visible" r:id="rId3"/>
    <sheet name="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</font>
    <font>
      <name val="Arial"/>
      <b val="1"/>
      <sz val="10"/>
    </font>
    <font>
      <b val="1"/>
      <sz val="14"/>
    </font>
    <font>
      <b val="1"/>
      <sz val="12"/>
    </font>
    <font>
      <sz val="11"/>
    </font>
    <font>
      <b val="1"/>
      <color rgb="FFB00000"/>
    </font>
    <font>
      <b val="1"/>
      <sz val="16"/>
    </font>
    <font>
      <b val="1"/>
      <sz val="11"/>
    </font>
    <font>
      <b val="1"/>
      <color rgb="FFE0714B"/>
      <sz val="20"/>
    </font>
    <font>
      <i val="1"/>
      <sz val="10"/>
    </font>
    <font>
      <b val="1"/>
      <color rgb="FFFFFFFF"/>
      <sz val="14"/>
    </font>
    <font>
      <i val="1"/>
      <color rgb="FF999999"/>
    </font>
    <font>
      <b val="1"/>
    </font>
  </fonts>
  <fills count="9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FFF2AB"/>
      </patternFill>
    </fill>
    <fill>
      <patternFill patternType="solid">
        <fgColor rgb="FFE7F6E7"/>
      </patternFill>
    </fill>
    <fill>
      <patternFill patternType="solid">
        <fgColor rgb="FFF4F4F4"/>
      </patternFill>
    </fill>
    <fill>
      <patternFill patternType="solid">
        <fgColor rgb="FFFFF3C4"/>
      </patternFill>
    </fill>
    <fill>
      <patternFill patternType="solid">
        <fgColor rgb="FFE0714B"/>
      </patternFill>
    </fill>
    <fill>
      <patternFill patternType="solid">
        <fgColor rgb="FFF0E0DA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2" borderId="0" pivotButton="0" quotePrefix="0" xfId="0"/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0" fontId="1" fillId="5" borderId="2" applyAlignment="1" pivotButton="0" quotePrefix="0" xfId="0">
      <alignment vertical="top" wrapText="1"/>
    </xf>
    <xf numFmtId="0" fontId="1" fillId="6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0" fillId="4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left"/>
    </xf>
    <xf numFmtId="0" fontId="12" fillId="0" borderId="0" pivotButton="0" quotePrefix="0" xfId="0"/>
    <xf numFmtId="0" fontId="13" fillId="7" borderId="0" applyAlignment="1" pivotButton="0" quotePrefix="0" xfId="0">
      <alignment horizontal="left" vertical="center"/>
    </xf>
    <xf numFmtId="0" fontId="10" fillId="8" borderId="2" applyAlignment="1" pivotButton="0" quotePrefix="0" xfId="0">
      <alignment horizontal="center" vertical="center" wrapText="1"/>
    </xf>
    <xf numFmtId="0" fontId="14" fillId="6" borderId="2" pivotButton="0" quotePrefix="0" xfId="0"/>
    <xf numFmtId="0" fontId="0" fillId="6" borderId="2" pivotButton="0" quotePrefix="0" xfId="0"/>
    <xf numFmtId="0" fontId="15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30" customWidth="1" min="3" max="3"/>
    <col width="26" customWidth="1" min="4" max="4"/>
    <col width="30" customWidth="1" min="5" max="5"/>
    <col width="42" customWidth="1" min="6" max="6"/>
    <col width="32" customWidth="1" min="7" max="7"/>
    <col width="30" customWidth="1" min="8" max="8"/>
    <col width="34" customWidth="1" min="9" max="9"/>
    <col width="26" customWidth="1" min="10" max="10"/>
    <col width="20" customWidth="1" min="11" max="11"/>
    <col width="14" customWidth="1" min="12" max="12"/>
    <col width="16" customWidth="1" min="13" max="13"/>
    <col width="10" customWidth="1" min="14" max="14"/>
    <col width="22" customWidth="1" min="15" max="15"/>
    <col width="30" customWidth="1" min="16" max="16"/>
    <col width="12" customWidth="1" min="17" max="17"/>
    <col width="14" customWidth="1" min="18" max="18"/>
    <col width="16" customWidth="1" min="19" max="19"/>
    <col width="70" customWidth="1" min="20" max="20"/>
    <col width="60" customWidth="1" min="21" max="21"/>
    <col width="60" customWidth="1" min="22" max="22"/>
  </cols>
  <sheetData>
    <row r="1" ht="46" customHeight="1">
      <c r="A1" s="11" t="inlineStr">
        <is>
          <t>Priority (call in this order)</t>
        </is>
      </c>
      <c r="B1" s="11" t="inlineStr">
        <is>
          <t>#</t>
        </is>
      </c>
      <c r="C1" s="11" t="inlineStr">
        <is>
          <t>Company</t>
        </is>
      </c>
      <c r="D1" s="11" t="inlineStr">
        <is>
          <t>Location</t>
        </is>
      </c>
      <c r="E1" s="11" t="inlineStr">
        <is>
          <t>Type</t>
        </is>
      </c>
      <c r="F1" s="11" t="inlineStr">
        <is>
          <t>Found via / Link</t>
        </is>
      </c>
      <c r="G1" s="11" t="inlineStr">
        <is>
          <t>Known head colours</t>
        </is>
      </c>
      <c r="H1" s="11" t="inlineStr">
        <is>
          <t>Custom print / colour?</t>
        </is>
      </c>
      <c r="I1" s="11" t="inlineStr">
        <is>
          <t>Phone (UNVERIFIED - confirm)</t>
        </is>
      </c>
      <c r="J1" s="11" t="inlineStr">
        <is>
          <t>Email (UNVERIFIED - confirm)</t>
        </is>
      </c>
      <c r="K1" s="11" t="inlineStr">
        <is>
          <t>Contact person</t>
        </is>
      </c>
      <c r="L1" s="11" t="inlineStr">
        <is>
          <t>Date contacted</t>
        </is>
      </c>
      <c r="M1" s="11" t="inlineStr">
        <is>
          <t>Quote: plain filled box (Rs)</t>
        </is>
      </c>
      <c r="N1" s="11" t="inlineStr">
        <is>
          <t>MOQ</t>
        </is>
      </c>
      <c r="O1" s="11" t="inlineStr">
        <is>
          <t>Black head?</t>
        </is>
      </c>
      <c r="P1" s="11" t="inlineStr">
        <is>
          <t>Black / carbonised stick?</t>
        </is>
      </c>
      <c r="Q1" s="11" t="inlineStr">
        <is>
          <t>Lead time</t>
        </is>
      </c>
      <c r="R1" s="11" t="inlineStr">
        <is>
          <t>Sample cost (Rs)</t>
        </is>
      </c>
      <c r="S1" s="11" t="inlineStr">
        <is>
          <t>Status</t>
        </is>
      </c>
      <c r="T1" s="11" t="inlineStr">
        <is>
          <t>Notes</t>
        </is>
      </c>
      <c r="U1" s="11" t="inlineStr">
        <is>
          <t>Why this rank</t>
        </is>
      </c>
      <c r="V1" s="11" t="inlineStr">
        <is>
          <t>Source URL (where I got the contact)</t>
        </is>
      </c>
    </row>
    <row r="2" ht="110" customHeight="1">
      <c r="A2" s="12" t="n">
        <v>1</v>
      </c>
      <c r="B2" s="13" t="n">
        <v>2</v>
      </c>
      <c r="C2" s="13" t="inlineStr">
        <is>
          <t>Bhish Exports</t>
        </is>
      </c>
      <c r="D2" s="13" t="inlineStr">
        <is>
          <t>National Colony, Sivakasi, TN</t>
        </is>
      </c>
      <c r="E2" s="13" t="inlineStr">
        <is>
          <t>Manufacturer + exporter</t>
        </is>
      </c>
      <c r="F2" s="13" t="inlineStr">
        <is>
          <t>https://www.tradeindia.com/products/custom-safety-matches-9333113.html</t>
        </is>
      </c>
      <c r="G2" s="13" t="inlineStr">
        <is>
          <t>black, blue, white, red, green</t>
        </is>
      </c>
      <c r="H2" s="13" t="inlineStr">
        <is>
          <t>Yes – custom branding, black head listed</t>
        </is>
      </c>
      <c r="I2" s="14" t="inlineStr">
        <is>
          <t>+91 98424 34594 (mobile) / +91 4562 221003 (landline)</t>
        </is>
      </c>
      <c r="J2" s="14" t="inlineStr">
        <is>
          <t>bhishexports@gmail.com</t>
        </is>
      </c>
      <c r="K2" s="15" t="inlineStr"/>
      <c r="L2" s="16" t="n"/>
      <c r="M2" s="16" t="n"/>
      <c r="N2" s="16" t="n"/>
      <c r="O2" s="13" t="inlineStr">
        <is>
          <t>Yes - black head listed in their own range</t>
        </is>
      </c>
      <c r="P2" s="13" t="inlineStr">
        <is>
          <t>Ask - not stated anywhere public</t>
        </is>
      </c>
      <c r="Q2" s="16" t="n"/>
      <c r="R2" s="16" t="n"/>
      <c r="S2" s="13" t="inlineStr">
        <is>
          <t>Not called yet</t>
        </is>
      </c>
      <c r="T2" s="13" t="inlineStr">
        <is>
          <t>Address listed as 34, TCN Street, Sivakasi 626123. Own site safety-matches.com. Trader + wholesaler of household and safety match boxes since 2012 - small enough to care about a 1,000-box order. Phone/email from a directory listing, NOT verified by me (their site is blocked on this machine). CONFIDENCE: medium-high.</t>
        </is>
      </c>
      <c r="U2" s="17" t="inlineStr">
        <is>
          <t>Only vendor with a direct mobile AND a gmail AND black head already in their catalogue. Small trading house = most likely to say yes to 50 samples then 1,000 boxes.</t>
        </is>
      </c>
      <c r="V2" s="17" t="inlineStr">
        <is>
          <t>https://www.safety-matches.com/ ; https://www.indianyellowpages.com/virudhu-nagar/bhish-exports-sivakasi-virudhunagar-1518417/</t>
        </is>
      </c>
    </row>
    <row r="3" ht="110" customHeight="1">
      <c r="A3" s="12" t="n">
        <v>2</v>
      </c>
      <c r="B3" s="13" t="n">
        <v>3</v>
      </c>
      <c r="C3" s="13" t="inlineStr">
        <is>
          <t>Tritaon Exports Pvt Ltd</t>
        </is>
      </c>
      <c r="D3" s="13" t="inlineStr">
        <is>
          <t>Sivakasi, TN</t>
        </is>
      </c>
      <c r="E3" s="13" t="inlineStr">
        <is>
          <t>Manufacturer + exporter</t>
        </is>
      </c>
      <c r="F3" s="13" t="inlineStr">
        <is>
          <t>https://www.indiamart.com/tritaon-exports-private-limited/safety-matches.html</t>
        </is>
      </c>
      <c r="G3" s="13" t="inlineStr">
        <is>
          <t>brown, red, green, black</t>
        </is>
      </c>
      <c r="H3" s="13" t="inlineStr">
        <is>
          <t>Yes – head colour per buyer request</t>
        </is>
      </c>
      <c r="I3" s="14" t="inlineStr">
        <is>
          <t>+91 94437 23577</t>
        </is>
      </c>
      <c r="J3" s="14" t="inlineStr">
        <is>
          <t>tritaon@gmail.com</t>
        </is>
      </c>
      <c r="K3" s="15" t="inlineStr"/>
      <c r="L3" s="16" t="n"/>
      <c r="M3" s="16" t="n"/>
      <c r="N3" s="16" t="n"/>
      <c r="O3" s="13" t="inlineStr">
        <is>
          <t>Yes - black is in their listed head range</t>
        </is>
      </c>
      <c r="P3" s="13" t="inlineStr">
        <is>
          <t>Ask</t>
        </is>
      </c>
      <c r="Q3" s="16" t="n"/>
      <c r="R3" s="16" t="n"/>
      <c r="S3" s="13" t="inlineStr">
        <is>
          <t>Not called yet</t>
        </is>
      </c>
      <c r="T3" s="13" t="inlineStr">
        <is>
          <t>Address listed as 3/1324/4A, Sattur Road, Sivakasi, Virudhunagar Dist. GST 33AADCT1609E1ZU. Own site tritaonexport.com. Listed as 16 years in business, does novelty and wax matches (i.e. they already do non-standard runs). Phone/email from directory listing, NOT verified. CONFIDENCE: medium.</t>
        </is>
      </c>
      <c r="U3" s="17" t="inlineStr">
        <is>
          <t>Direct mobile, direct email, black head in range, and they already run novelty/wax lines - a brand order is not a weird request for them.</t>
        </is>
      </c>
      <c r="V3" s="17" t="inlineStr">
        <is>
          <t>https://tritaonexport.com/ ; https://www.indiamart.com/tritaon-exports-private-limited/safety-matches.html</t>
        </is>
      </c>
    </row>
    <row r="4" ht="110" customHeight="1">
      <c r="A4" s="12" t="n">
        <v>3</v>
      </c>
      <c r="B4" s="13" t="n">
        <v>5</v>
      </c>
      <c r="C4" s="13" t="inlineStr">
        <is>
          <t>Bhavi Apex Industries</t>
        </is>
      </c>
      <c r="D4" s="13" t="inlineStr">
        <is>
          <t>Kovilpatti, TN (office Mumbai)</t>
        </is>
      </c>
      <c r="E4" s="13" t="inlineStr">
        <is>
          <t>Manufacturer + exporter</t>
        </is>
      </c>
      <c r="F4" s="13" t="inlineStr">
        <is>
          <t>https://www.globallinker.com/products/50mm-x-35mm-x-12mm-approx-2650-cartons-7757135</t>
        </is>
      </c>
      <c r="G4" s="13" t="inlineStr">
        <is>
          <t>brown, black, red</t>
        </is>
      </c>
      <c r="H4" s="13" t="inlineStr">
        <is>
          <t>Yes – carbonised splints available</t>
        </is>
      </c>
      <c r="I4" s="14" t="inlineStr">
        <is>
          <t>080-4877 2506 (IndiaMART call-connect, NOT their own line)</t>
        </is>
      </c>
      <c r="J4" s="15" t="inlineStr"/>
      <c r="K4" s="15" t="inlineStr"/>
      <c r="L4" s="16" t="n"/>
      <c r="M4" s="16" t="n"/>
      <c r="N4" s="16" t="n"/>
      <c r="O4" s="13" t="inlineStr">
        <is>
          <t>Yes - black, brown and red heads listed</t>
        </is>
      </c>
      <c r="P4" s="13" t="inlineStr">
        <is>
          <t>Yes - listing says carbonised AND non-carbonised, 35/40/45 sticks</t>
        </is>
      </c>
      <c r="Q4" s="16" t="n"/>
      <c r="R4" s="16" t="n"/>
      <c r="S4" s="13" t="inlineStr">
        <is>
          <t>Not called yet</t>
        </is>
      </c>
      <c r="T4" s="13" t="inlineStr">
        <is>
          <t>THE ONLY VENDOR WHO PUBLICLY ADVERTISES BOTH BLACK HEAD AND CARBONISED STICK - that is exactly your spec. BUT their public listing shows MOQ 3,000 cartons at Rs 500-700 per carton, which is far bigger than you need. Ask on the first call what a 'carton' contains and whether they will break it. The number above routes through IndiaMART, so you may not reach the factory directly. CONFIDENCE: medium on the spec, LOW on the phone.</t>
        </is>
      </c>
      <c r="U4" s="17" t="inlineStr">
        <is>
          <t>Perfect spec match on paper (black head + carbonised splint). Ranked 3 not 1 only because the listed MOQ is huge and the number is a call-routing line.</t>
        </is>
      </c>
      <c r="V4" s="17" t="inlineStr">
        <is>
          <t>https://dir.indiamart.com/kovilpatti/safetymatchboxes.html ; https://www.globallinker.com/products/50mm-x-35mm-x-12mm-approx-2650-cartons-7757135</t>
        </is>
      </c>
    </row>
    <row r="5" ht="110" customHeight="1">
      <c r="A5" s="12" t="n">
        <v>4</v>
      </c>
      <c r="B5" s="13" t="n">
        <v>6</v>
      </c>
      <c r="C5" s="13" t="inlineStr">
        <is>
          <t>Sivakasi Match Company</t>
        </is>
      </c>
      <c r="D5" s="13" t="inlineStr">
        <is>
          <t>Kovilpatti, TN</t>
        </is>
      </c>
      <c r="E5" s="13" t="inlineStr">
        <is>
          <t>Small manufacturer (2016)</t>
        </is>
      </c>
      <c r="F5" s="13" t="inlineStr">
        <is>
          <t>https://www.indiamart.com/sivakasimatchcompany/</t>
        </is>
      </c>
      <c r="G5" s="13" t="inlineStr">
        <is>
          <t>not listed – ask</t>
        </is>
      </c>
      <c r="H5" s="13" t="inlineStr">
        <is>
          <t>Ask – small firm, may accept small runs</t>
        </is>
      </c>
      <c r="I5" s="15" t="inlineStr"/>
      <c r="J5" s="15" t="inlineStr"/>
      <c r="K5" s="15" t="inlineStr"/>
      <c r="L5" s="16" t="n"/>
      <c r="M5" s="16" t="n"/>
      <c r="N5" s="16" t="n"/>
      <c r="O5" s="13" t="inlineStr">
        <is>
          <t>Ask</t>
        </is>
      </c>
      <c r="P5" s="13" t="inlineStr">
        <is>
          <t>Ask</t>
        </is>
      </c>
      <c r="Q5" s="16" t="n"/>
      <c r="R5" s="16" t="n"/>
      <c r="S5" s="13" t="inlineStr">
        <is>
          <t>Not called yet</t>
        </is>
      </c>
      <c r="T5" s="13" t="inlineStr">
        <is>
          <t>NO PHONE FOUND. Their only public presence is an IndiaMART page, which is blocked on this machine. Pull the number off https://www.indiamart.com/sivakasimatchcompany/ on your own phone - it takes 30 seconds. Founded 2016, sole proprietorship, Kovilpatti. CONFIDENCE: high on 'they are small', zero on contact.</t>
        </is>
      </c>
      <c r="U5" s="17" t="inlineStr">
        <is>
          <t>Newest and smallest firm on the list (2016, sole proprietor). Statistically the one most likely to accept a 500-1,000 box order without an argument. Worth the 30 seconds it takes to get the number yourself.</t>
        </is>
      </c>
      <c r="V5" s="17" t="inlineStr">
        <is>
          <t>https://www.indiamart.com/sivakasimatchcompany/</t>
        </is>
      </c>
    </row>
    <row r="6" ht="110" customHeight="1">
      <c r="A6" s="12" t="n">
        <v>5</v>
      </c>
      <c r="B6" s="13" t="n">
        <v>1</v>
      </c>
      <c r="C6" s="13" t="inlineStr">
        <is>
          <t>Asia Match Company Pvt Ltd</t>
        </is>
      </c>
      <c r="D6" s="13" t="inlineStr">
        <is>
          <t>Sivakasi, TN</t>
        </is>
      </c>
      <c r="E6" s="13" t="inlineStr">
        <is>
          <t>Manufacturer + exporter (70+ yrs)</t>
        </is>
      </c>
      <c r="F6" s="13" t="inlineStr">
        <is>
          <t>https://www.asiamatch.in/</t>
        </is>
      </c>
      <c r="G6" s="13" t="inlineStr">
        <is>
          <t>black, red, green, yellow, blue, maroon, grey</t>
        </is>
      </c>
      <c r="H6" s="13" t="inlineStr">
        <is>
          <t>Yes – advertising/custom matches, any spec</t>
        </is>
      </c>
      <c r="I6" s="14" t="inlineStr">
        <is>
          <t>+91 95009 15456 (mobile) / +91 4562 222422 (landline)</t>
        </is>
      </c>
      <c r="J6" s="14" t="inlineStr">
        <is>
          <t>asiamatchpvt@gmail.com</t>
        </is>
      </c>
      <c r="K6" s="15" t="inlineStr"/>
      <c r="L6" s="16" t="n"/>
      <c r="M6" s="16" t="n"/>
      <c r="N6" s="16" t="n"/>
      <c r="O6" s="13" t="inlineStr">
        <is>
          <t>Yes - black is first in their listed colour range</t>
        </is>
      </c>
      <c r="P6" s="13" t="inlineStr">
        <is>
          <t>Ask</t>
        </is>
      </c>
      <c r="Q6" s="16" t="n"/>
      <c r="R6" s="16" t="n"/>
      <c r="S6" s="13" t="inlineStr">
        <is>
          <t>Not called yet</t>
        </is>
      </c>
      <c r="T6" s="13" t="inlineStr">
        <is>
          <t>Address listed as Boopathy Buildings, Virudhunagar Road, PO Box 222, Sithurajapuram, Sivakasi 626123. Part of the Pioneer Asia group (alt email pioneer@pioneerasia.com, fax +91 4562 222056). Est. 1940s. IMPORTANT: they make HOTEL MATCHES - small custom-branded runs are already their normal business, so ask specifically about their hotel-match minimum, not their export minimum. CONFIDENCE: medium-high (two independent listings agree on the landline).</t>
        </is>
      </c>
      <c r="U6" s="17" t="inlineStr">
        <is>
          <t>Widest black-inclusive colour range and they already do small custom hotel-match runs. Ranked 5 because an 80-year-old exporter will quote you an export MOQ unless you ask for the hotel line by name.</t>
        </is>
      </c>
      <c r="V6" s="17" t="inlineStr">
        <is>
          <t>https://www.asiamatch.co.in/profile.html ; http://www.pioneerasia.com/pioneer-asiamatch.html</t>
        </is>
      </c>
    </row>
    <row r="7" ht="110" customHeight="1">
      <c r="A7" s="12" t="n">
        <v>6</v>
      </c>
      <c r="B7" s="13" t="n">
        <v>7</v>
      </c>
      <c r="C7" s="13" t="inlineStr">
        <is>
          <t>Geewin Matches (Geewin Exim Pvt Ltd)  [your sheet said "Gerwin" - no such firm]</t>
        </is>
      </c>
      <c r="D7" s="13" t="inlineStr">
        <is>
          <t>Made in Sivakasi, TN; office Madurai, TN</t>
        </is>
      </c>
      <c r="E7" s="13" t="inlineStr">
        <is>
          <t>Manufacturer + exporter</t>
        </is>
      </c>
      <c r="F7" s="13" t="inlineStr">
        <is>
          <t>https://geewinmatches.net/contact-us/</t>
        </is>
      </c>
      <c r="G7" s="13" t="inlineStr">
        <is>
          <t>not listed – ask</t>
        </is>
      </c>
      <c r="H7" s="13" t="inlineStr">
        <is>
          <t>Ask</t>
        </is>
      </c>
      <c r="I7" s="14" t="inlineStr">
        <is>
          <t>+91 96260 99777 / +91 96260 18777 / +91 452 4383370</t>
        </is>
      </c>
      <c r="J7" s="14" t="inlineStr">
        <is>
          <t>info@geewinexim.com</t>
        </is>
      </c>
      <c r="K7" s="15" t="inlineStr"/>
      <c r="L7" s="16" t="n"/>
      <c r="M7" s="16" t="n"/>
      <c r="N7" s="16" t="n"/>
      <c r="O7" s="13" t="inlineStr">
        <is>
          <t>Ask</t>
        </is>
      </c>
      <c r="P7" s="13" t="inlineStr">
        <is>
          <t>Ask</t>
        </is>
      </c>
      <c r="Q7" s="16" t="n"/>
      <c r="R7" s="16" t="n"/>
      <c r="S7" s="13" t="inlineStr">
        <is>
          <t>Not called yet</t>
        </is>
      </c>
      <c r="T7" s="13" t="inlineStr">
        <is>
          <t>NAME CORRECTION: there is no 'Gerwin'. The real company is GEEWIN MATCHES / Geewin Exim Pvt Ltd - office at No 48A, 3rd Floor, Manjanakkara Street, Mahal 3rd Street, Madurai 625001, matches made in Sivakasi. Est. 2006. Three numbers listed so somebody answers. Big exporter - ask the MOQ in the first 60 seconds or you will waste the call. CONFIDENCE: medium (numbers from a directory, sites blocked here).</t>
        </is>
      </c>
      <c r="U7" s="17" t="inlineStr">
        <is>
          <t>Three live-looking numbers and an email, so you will actually reach a human. Ranked 6 because they are export-scale and will likely quote a container, not 1,000 boxes.</t>
        </is>
      </c>
      <c r="V7" s="17" t="inlineStr">
        <is>
          <t>https://geewinmatches.net/contact-us/ ; https://www.geewinexim.com/safety-matches/</t>
        </is>
      </c>
    </row>
    <row r="8" ht="110" customHeight="1">
      <c r="A8" s="12" t="n">
        <v>7</v>
      </c>
      <c r="B8" s="13" t="n">
        <v>8</v>
      </c>
      <c r="C8" s="13" t="inlineStr">
        <is>
          <t>Rajashree Match Works</t>
        </is>
      </c>
      <c r="D8" s="13" t="inlineStr">
        <is>
          <t>Sattur, Virudhunagar Dist, TN</t>
        </is>
      </c>
      <c r="E8" s="13" t="inlineStr">
        <is>
          <t>Manufacturer, in-house printing + box making</t>
        </is>
      </c>
      <c r="F8" s="13" t="inlineStr">
        <is>
          <t>https://rajashreematch.com/</t>
        </is>
      </c>
      <c r="G8" s="13" t="inlineStr">
        <is>
          <t>not listed – ask</t>
        </is>
      </c>
      <c r="H8" s="13" t="inlineStr">
        <is>
          <t>Yes – has own printing/box unit (good for custom outer)</t>
        </is>
      </c>
      <c r="I8" s="15" t="inlineStr"/>
      <c r="J8" s="15" t="inlineStr"/>
      <c r="K8" s="14" t="inlineStr">
        <is>
          <t>Padmanabhan M (Managing Director)</t>
        </is>
      </c>
      <c r="L8" s="16" t="n"/>
      <c r="M8" s="16" t="n"/>
      <c r="N8" s="16" t="n"/>
      <c r="O8" s="13" t="inlineStr">
        <is>
          <t>Ask</t>
        </is>
      </c>
      <c r="P8" s="13" t="inlineStr">
        <is>
          <t>Ask</t>
        </is>
      </c>
      <c r="Q8" s="16" t="n"/>
      <c r="R8" s="16" t="n"/>
      <c r="S8" s="13" t="inlineStr">
        <is>
          <t>Not called yet</t>
        </is>
      </c>
      <c r="T8" s="13" t="inlineStr">
        <is>
          <t>NO PHONE FOUND. Listed at 251 Bypass Road, Sattur, Virudhunagar 626157 (also 4/131A Chatrapatti, Pudhupalayam, Sattur). Est. 1979. Own site rajashreematch.com. THE INTERESTING BIT: they have their own printing and box-making unit, so one day they could do your tray AND your printed outer together. Not for Drop 01 - your Pune printer is faster and lets you change artwork - but keep them warm. CONFIDENCE: high on the company, zero on contact.</t>
        </is>
      </c>
      <c r="U8" s="17" t="inlineStr">
        <is>
          <t>Only vendor with in-house printing and box-making. A long-term 'one vendor does everything' option, but no phone found and Sattur is a detour. Not a Drop 01 call.</t>
        </is>
      </c>
      <c r="V8" s="17" t="inlineStr">
        <is>
          <t>https://rajashreematch.com/ ; https://www.indiamart.com/rajashree-match-works/aboutus.html</t>
        </is>
      </c>
    </row>
    <row r="9" ht="110" customHeight="1">
      <c r="A9" s="12" t="n">
        <v>8</v>
      </c>
      <c r="B9" s="13" t="n">
        <v>4</v>
      </c>
      <c r="C9" s="13" t="inlineStr">
        <is>
          <t>Epoch Exports</t>
        </is>
      </c>
      <c r="D9" s="13" t="inlineStr">
        <is>
          <t>Kovilpatti, TN</t>
        </is>
      </c>
      <c r="E9" s="13" t="inlineStr">
        <is>
          <t>Manufacturer + exporter (40+ yrs)</t>
        </is>
      </c>
      <c r="F9" s="13" t="inlineStr">
        <is>
          <t>https://epochexports.com/</t>
        </is>
      </c>
      <c r="G9" s="13" t="inlineStr">
        <is>
          <t>not listed – ask</t>
        </is>
      </c>
      <c r="H9" s="13" t="inlineStr">
        <is>
          <t>Yes – made to client spec</t>
        </is>
      </c>
      <c r="I9" s="15" t="inlineStr"/>
      <c r="J9" s="14" t="inlineStr">
        <is>
          <t>epochexports@gmail.com</t>
        </is>
      </c>
      <c r="K9" s="15" t="inlineStr"/>
      <c r="L9" s="16" t="n"/>
      <c r="M9" s="16" t="n"/>
      <c r="N9" s="16" t="n"/>
      <c r="O9" s="13" t="inlineStr">
        <is>
          <t>Ask</t>
        </is>
      </c>
      <c r="P9" s="13" t="inlineStr">
        <is>
          <t>Ask</t>
        </is>
      </c>
      <c r="Q9" s="16" t="n"/>
      <c r="R9" s="16" t="n"/>
      <c r="S9" s="13" t="inlineStr">
        <is>
          <t>Not called yet</t>
        </is>
      </c>
      <c r="T9" s="13" t="inlineStr">
        <is>
          <t>Email only - no phone found anywhere public. Listed at No 1517/5, Thangappanagar, Kovilpatti, Thoothukudi Dist, TN 628501. GST 33AFNPA6051M1ZF. Est. 1984, export-focused (wooden, wax and cardboard matches). CONFIDENCE: medium-high on the email, zero on phone.</t>
        </is>
      </c>
      <c r="U9" s="17" t="inlineStr">
        <is>
          <t>Email-only and built for export containers. Slowest route for someone buying 1,000 boxes. Send one email, do not chase.</t>
        </is>
      </c>
      <c r="V9" s="17" t="inlineStr">
        <is>
          <t>https://www.epochexports.com/about-us/ ; https://www.exportersindia.com/epoch-exports/</t>
        </is>
      </c>
    </row>
    <row r="11">
      <c r="A11" s="18" t="inlineStr">
        <is>
          <t>HOW TO USE THIS SHEET</t>
        </is>
      </c>
      <c r="B11" s="5" t="n"/>
    </row>
    <row r="12">
      <c r="A12" s="19" t="inlineStr">
        <is>
          <t>Rows are now sorted by PRIORITY - start at the top and work down. Column B keeps the original numbering so it still matches your other notes.</t>
        </is>
      </c>
      <c r="B12" s="6" t="n"/>
    </row>
    <row r="13">
      <c r="A13" s="19" t="inlineStr">
        <is>
          <t>GREEN cells = a phone/email I found on the web on 12 Sep 2026. I could NOT verify any of them by loading the company site (this machine blocks those sites). Treat every one as 'probably right' and confirm on the call.</t>
        </is>
      </c>
      <c r="B13" s="6" t="n"/>
    </row>
    <row r="14">
      <c r="A14" s="19" t="inlineStr">
        <is>
          <t>GREY cells = genuinely not findable in public. Left blank on purpose. A blank you fill on a call beats a number I made up.</t>
        </is>
      </c>
    </row>
    <row r="15">
      <c r="A15" s="19" t="inlineStr">
        <is>
          <t>YELLOW cells = you fill in after calling: date, quote, MOQ, lead time, sample cost.</t>
        </is>
      </c>
    </row>
    <row r="16">
      <c r="A16" s="19" t="inlineStr">
        <is>
          <t>Column T (Notes) says where every fact came from and how confident I am. Column V has the actual source URL.</t>
        </is>
      </c>
    </row>
    <row r="17">
      <c r="A17" s="19" t="inlineStr">
        <is>
          <t>NO phone number, email, address or price in this sheet was invented. Where I had nothing, the cell is empty.</t>
        </is>
      </c>
    </row>
    <row r="18">
      <c r="A18" s="19" t="inlineStr">
        <is>
          <t>The 'EXAMPLE - delete me' row has been deleted.</t>
        </is>
      </c>
    </row>
    <row r="19">
      <c r="A19" s="19" t="inlineStr">
        <is>
          <t>Original source note: IndiaMART, TradeIndia, GlobalLinker and company websites, checked 12 Sep 2026. Colour lists are what each vendor publicly advertises - confirm on the call.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What to say on the phone (Hindi/English/Tamil – keep it short)</t>
        </is>
      </c>
    </row>
    <row r="2">
      <c r="A2" s="8" t="inlineStr">
        <is>
          <t>1. Hi, I'm starting a matchbox brand in Pune. I want PLAIN filled boxes – inner tray with sticks, plain outer, no printing. I will print my own outer box.</t>
        </is>
      </c>
    </row>
    <row r="3">
      <c r="A3" s="8" t="inlineStr">
        <is>
          <t>2. Black head, and black or carbonised stick if possible. Standard 40–45 sticks, 50x35x12 mm size is fine.</t>
        </is>
      </c>
    </row>
    <row r="4">
      <c r="A4" s="8" t="inlineStr">
        <is>
          <t>3. First I need 50–100 sample boxes. I'll pay for samples and courier to Pune. What's the price?</t>
        </is>
      </c>
    </row>
    <row r="5">
      <c r="A5" s="8" t="inlineStr">
        <is>
          <t>4. After samples, I'll order 1,000–2,000 plain boxes every 2–3 months. What's your minimum and price per box at that quantity?</t>
        </is>
      </c>
    </row>
    <row r="6">
      <c r="A6" s="8" t="inlineStr">
        <is>
          <t>5. Can you send me a photo of the black-head box on WhatsApp today?</t>
        </is>
      </c>
    </row>
    <row r="7">
      <c r="A7" s="8" t="inlineStr"/>
    </row>
    <row r="8">
      <c r="A8" s="7" t="inlineStr">
        <is>
          <t>Write down: price per box, MOQ, lead time, sample cost, whether they'll WhatsApp photos, who you spoke to.</t>
        </is>
      </c>
    </row>
    <row r="9">
      <c r="A9" s="8" t="inlineStr">
        <is>
          <t>Call between 10am–1pm on weekdays. Morning calls to Sivakasi get answered; chats on IndiaMART mostly don't.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  <col width="48" customWidth="1" min="4" max="4"/>
    <col width="40" customWidth="1" min="5" max="5"/>
    <col width="30" customWidth="1" min="6" max="6"/>
    <col width="20" customWidth="1" min="7" max="7"/>
    <col width="14" customWidth="1" min="8" max="8"/>
    <col width="56" customWidth="1" min="9" max="9"/>
    <col width="56" customWidth="1" min="10" max="10"/>
  </cols>
  <sheetData>
    <row r="1" ht="46" customHeight="1">
      <c r="A1" s="11" t="inlineStr">
        <is>
          <t>Printer</t>
        </is>
      </c>
      <c r="B1" s="11" t="inlineStr">
        <is>
          <t>Area / address (as publicly listed)</t>
        </is>
      </c>
      <c r="C1" s="11" t="inlineStr">
        <is>
          <t>What they actually do</t>
        </is>
      </c>
      <c r="D1" s="11" t="inlineStr">
        <is>
          <t>Best for you?</t>
        </is>
      </c>
      <c r="E1" s="11" t="inlineStr">
        <is>
          <t>Phone (UNVERIFIED - confirm before you rely on it)</t>
        </is>
      </c>
      <c r="F1" s="11" t="inlineStr">
        <is>
          <t>Email</t>
        </is>
      </c>
      <c r="G1" s="11" t="inlineStr">
        <is>
          <t>Quote per 500 outers (Rs) - FILL IN</t>
        </is>
      </c>
      <c r="H1" s="11" t="inlineStr">
        <is>
          <t>Date contacted</t>
        </is>
      </c>
      <c r="I1" s="11" t="inlineStr">
        <is>
          <t>Notes + confidence</t>
        </is>
      </c>
      <c r="J1" s="11" t="inlineStr">
        <is>
          <t>Source URL</t>
        </is>
      </c>
    </row>
    <row r="2" ht="100" customHeight="1">
      <c r="A2" s="17" t="inlineStr">
        <is>
          <t>Picatype (Picatype Systems Pvt Ltd)</t>
        </is>
      </c>
      <c r="B2" s="17" t="inlineStr">
        <is>
          <t>Office: 301 Gera Chambers, off Boat Club Road, Pune 411001. Factory: Kesnand Road, Wagholi, Pune 412207.</t>
        </is>
      </c>
      <c r="C2" s="17" t="inlineStr">
        <is>
          <t>Digital AND offset. Box packaging is a named service line. Delivers across greater Pune.</t>
        </is>
      </c>
      <c r="D2" s="17" t="inlineStr">
        <is>
          <t>BEST FIRST CALL. Digital press = they can print 500 outers without a plate charge, and they have a WhatsApp number so you can send artwork in 10 seconds.</t>
        </is>
      </c>
      <c r="E2" s="20" t="inlineStr">
        <is>
          <t>UNVERIFIED: +91 99234 00885 (also listed as WhatsApp) / 020-4070 6800 / 020-2995 2148</t>
        </is>
      </c>
      <c r="F2" s="17" t="inlineStr">
        <is>
          <t>UNVERIFIED: printservices@picatype.com</t>
        </is>
      </c>
      <c r="G2" s="21" t="inlineStr"/>
      <c r="H2" s="21" t="inlineStr"/>
      <c r="I2" s="17" t="inlineStr">
        <is>
          <t>Numbers appear on their own site and on a Justdial listing; I could not load either page from this machine, so treat as unverified. CONFIDENCE: medium-high (two independent listings agree).</t>
        </is>
      </c>
      <c r="J2" s="17" t="inlineStr">
        <is>
          <t>https://picatypeprinting.com/box-packaging/ ; https://www.justdial.com/Pune/Picatype-Printing-Solutions-Pune/020PXX20-XX20-100115162250-V2I8_BZDET</t>
        </is>
      </c>
    </row>
    <row r="3" ht="100" customHeight="1">
      <c r="A3" s="17" t="inlineStr">
        <is>
          <t>Unbox (unboxit.in)</t>
        </is>
      </c>
      <c r="B3" s="17" t="inlineStr">
        <is>
          <t>31B, Parvati Industrial Estate, Pune-Satara Road, Pune 411009.</t>
        </is>
      </c>
      <c r="C3" s="17" t="inlineStr">
        <is>
          <t>Premium monocartons, rigid boxes, drawer and lift-lid boxes. Their site claims an automatic sample-making machine that can produce a finished custom box in a quantity of ONE.</t>
        </is>
      </c>
      <c r="D3" s="17" t="inlineStr">
        <is>
          <t>BEST FOR THE ONE PROTOTYPE. Get a single printed sleeve made here to check fit before you commit to 500 anywhere.</t>
        </is>
      </c>
      <c r="E3" s="22" t="inlineStr">
        <is>
          <t>NOT FOUND - no phone published. Use the contact form on unboxit.in or walk in; Parvati Industrial Estate is 15 min from Swargate.</t>
        </is>
      </c>
      <c r="F3" s="17" t="inlineStr">
        <is>
          <t>NOT FOUND</t>
        </is>
      </c>
      <c r="G3" s="21" t="inlineStr"/>
      <c r="H3" s="21" t="inlineStr"/>
      <c r="I3" s="17" t="inlineStr">
        <is>
          <t>Address from their own site listings. The 'single quantity sample' claim is their marketing copy, not something I verified - ask them to confirm it on the phone. CONFIDENCE: high on address, medium on the single-unit claim.</t>
        </is>
      </c>
      <c r="J3" s="17" t="inlineStr">
        <is>
          <t>https://unboxit.in/pages/carton-box-manufacturer ; https://unboxit.in/pages/about-us</t>
        </is>
      </c>
    </row>
    <row r="4" ht="100" customHeight="1">
      <c r="A4" s="17" t="inlineStr">
        <is>
          <t>Infinity Solutions (infinitypackaging.in)</t>
        </is>
      </c>
      <c r="B4" s="17" t="inlineStr">
        <is>
          <t>Works: 1522, opp Balaji English Medium School, Tamhane Vasti, Chikhali, Pune 411062. Shop: Bharat Arcade, 2394 G Thimmaya Road, Pune New Bazar / Camp 411001.</t>
        </is>
      </c>
      <c r="C4" s="17" t="inlineStr">
        <is>
          <t>Monocartons, printed duplex cartons, food and medicine boxes, pouches. Public listing shows minimum order 1,000 pieces.</t>
        </is>
      </c>
      <c r="D4" s="17" t="inlineStr">
        <is>
          <t>GOOD BACKUP - but their listed MOQ is 1,000, double your Drop 01. Ask if they will do 500, or price 1,000 and hold half for Drop 02 (only if the artwork is a keeper).</t>
        </is>
      </c>
      <c r="E4" s="20" t="inlineStr">
        <is>
          <t>UNVERIFIED: +91 98608 00044</t>
        </is>
      </c>
      <c r="F4" s="17" t="inlineStr">
        <is>
          <t>UNVERIFIED: sales@infinitysolutionspune.com</t>
        </is>
      </c>
      <c r="G4" s="21" t="inlineStr"/>
      <c r="H4" s="21" t="inlineStr"/>
      <c r="I4" s="17" t="inlineStr">
        <is>
          <t>Proprietor listed as Ravi. Two Pune addresses, so confirm which one you are walking into. CONFIDENCE: medium.</t>
        </is>
      </c>
      <c r="J4" s="17" t="inlineStr">
        <is>
          <t>https://www.infinitypackaging.in/mono-carton.html ; https://infinitysolutionspune.com/contact-us/</t>
        </is>
      </c>
    </row>
    <row r="5" ht="100" customHeight="1">
      <c r="A5" s="17" t="inlineStr">
        <is>
          <t>K. Joshi &amp; Company (kjpack.co.in)</t>
        </is>
      </c>
      <c r="B5" s="17" t="inlineStr">
        <is>
          <t>1745/2 Sadashiv Peth, near Bhikardas Maruti Temple, Pune 411030.</t>
        </is>
      </c>
      <c r="C5" s="17" t="inlineStr">
        <is>
          <t>Duplex and mono cartons, sweet boxes. Public listing mentions 4-colour printing, lamination, punching and pasting - that is exactly the process a matchbox sleeve needs.</t>
        </is>
      </c>
      <c r="D5" s="17" t="inlineStr">
        <is>
          <t>BEST FOR A WALK-IN. Sadashiv Peth is central Pune. Take a plain tray in your pocket and put it on their counter.</t>
        </is>
      </c>
      <c r="E5" s="22" t="inlineStr">
        <is>
          <t>NOT FOUND - no phone published. Walk in, or find them on Google Maps.</t>
        </is>
      </c>
      <c r="F5" s="17" t="inlineStr">
        <is>
          <t>NOT FOUND</t>
        </is>
      </c>
      <c r="G5" s="21" t="inlineStr"/>
      <c r="H5" s="21" t="inlineStr"/>
      <c r="I5" s="17" t="inlineStr">
        <is>
          <t>Contact person listed as Anil Joshi (Partner). Old-school Peth printer - these shops quote lower than the industrial estates on small runs. CONFIDENCE: high on address, zero on phone.</t>
        </is>
      </c>
      <c r="J5" s="17" t="inlineStr">
        <is>
          <t>https://www.kjpack.co.in/packaging-boxes.htm ; https://www.kjoshigroup.in/duplex-carton-box.html</t>
        </is>
      </c>
    </row>
    <row r="6" ht="100" customHeight="1">
      <c r="A6" s="17" t="inlineStr">
        <is>
          <t>Gurudas Packaging / Gurudas Arts</t>
        </is>
      </c>
      <c r="B6" s="17" t="inlineStr">
        <is>
          <t>Parvati Mata Hsg Soc, Office No 1, opp Shindepar Chowk, Charholi Bk, Pune 412105.</t>
        </is>
      </c>
      <c r="C6" s="17" t="inlineStr">
        <is>
          <t>Mono cartons, duplex boxes, printed packaging boxes, paper bags.</t>
        </is>
      </c>
      <c r="D6" s="17" t="inlineStr">
        <is>
          <t>WORTH A QUOTE - mainly food and pharma cartons, so ask whether they will do a 50x35x12 mm sleeve at all. It is a small die.</t>
        </is>
      </c>
      <c r="E6" s="20" t="inlineStr">
        <is>
          <t>UNVERIFIED: +91 77768 63730. (The other listed number +91 79493 26188 looks like an IndiaMART routing line, not a direct one.)</t>
        </is>
      </c>
      <c r="F6" s="17" t="inlineStr">
        <is>
          <t>NOT FOUND</t>
        </is>
      </c>
      <c r="G6" s="21" t="inlineStr"/>
      <c r="H6" s="21" t="inlineStr"/>
      <c r="I6" s="17" t="inlineStr">
        <is>
          <t>Charholi is north-east Pune, near Alandi Road - not a quick trip from the city. Get the quote on the phone first. CONFIDENCE: medium.</t>
        </is>
      </c>
      <c r="J6" s="17" t="inlineStr">
        <is>
          <t>https://www.gurudasarts.com/mono-cartons.html ; https://www.indiamart.com/gurudas-packaging/profile.html</t>
        </is>
      </c>
    </row>
    <row r="7" ht="100" customHeight="1">
      <c r="A7" s="17" t="inlineStr">
        <is>
          <t>Printo, Hinjewadi</t>
        </is>
      </c>
      <c r="B7" s="17" t="inlineStr">
        <is>
          <t>No 152, Junction, Hinjawadi Phase 1 Road, opp Birlasoft, Pune 411057. Mon-Sat 10:30-19:30.</t>
        </is>
      </c>
      <c r="C7" s="17" t="inlineStr">
        <is>
          <t>Retail digital print chain. Walk-in, same-day proofs, no minimum.</t>
        </is>
      </c>
      <c r="D7" s="17" t="inlineStr">
        <is>
          <t>USE ONLY FOR A PAPER MOCK-UP. Print your artwork flat on card for Rs 50-100 and fold it around a tray to see the design at real size. Their per-unit price at 500 will be far too high for production.</t>
        </is>
      </c>
      <c r="E7" s="20" t="inlineStr">
        <is>
          <t>UNVERIFIED: 095137 34374</t>
        </is>
      </c>
      <c r="F7" s="17" t="inlineStr">
        <is>
          <t>NOT FOUND</t>
        </is>
      </c>
      <c r="G7" s="21" t="inlineStr"/>
      <c r="H7" s="21" t="inlineStr"/>
      <c r="I7" s="17" t="inlineStr">
        <is>
          <t>A chain store, so the number may route to a call centre. Genuinely useful for a same-day sanity check on your artwork before you spend real money. CONFIDENCE: medium.</t>
        </is>
      </c>
      <c r="J7" s="17" t="inlineStr">
        <is>
          <t>https://printo.in/store/hinjewadi</t>
        </is>
      </c>
    </row>
    <row r="8" ht="100" customHeight="1">
      <c r="A8" s="17" t="inlineStr">
        <is>
          <t>Moraya Packaging (I) Pvt Ltd</t>
        </is>
      </c>
      <c r="B8" s="17" t="inlineStr">
        <is>
          <t>Plot 59, Talegaon MIDC, near General Motors, Mangrul Road, Navlakh Umbre 410507 (Chakan belt).</t>
        </is>
      </c>
      <c r="C8" s="17" t="inlineStr">
        <is>
          <t>CORRUGATED boxes, dividers, sheets. Industrial shipping cartons.</t>
        </is>
      </c>
      <c r="D8" s="17" t="inlineStr">
        <is>
          <t>NOT FOR THE OUTER SLEEVE - wrong material. Call them LATER if you need a strong outer carton to ship 500 boxes to a cafe.</t>
        </is>
      </c>
      <c r="E8" s="20" t="inlineStr">
        <is>
          <t>UNVERIFIED: 98509 45225</t>
        </is>
      </c>
      <c r="F8" s="17" t="inlineStr">
        <is>
          <t>NOT FOUND</t>
        </is>
      </c>
      <c r="G8" s="21" t="inlineStr"/>
      <c r="H8" s="21" t="inlineStr"/>
      <c r="I8" s="17" t="inlineStr">
        <is>
          <t>Included so you do not waste a call: corrugated is the brown fluted stuff, not the 300gsm printed board you want. Listed here as your future shipping-carton supplier only. CONFIDENCE: medium.</t>
        </is>
      </c>
      <c r="J8" s="17" t="inlineStr">
        <is>
          <t>https://morayapackaging.com/carton-boxes-manufacturers-in-pune.html</t>
        </is>
      </c>
    </row>
    <row r="10">
      <c r="A10" s="23" t="inlineStr">
        <is>
          <t>WHAT TO ASK EVERY PRINTER (one paragraph, read it out)</t>
        </is>
      </c>
    </row>
    <row r="11">
      <c r="A11" t="inlineStr">
        <is>
          <t>"Printed outer sleeve for a matchbox. 50 x 35 x 12 mm. 300gsm board, 4-colour, matte lamination, die-cut, folded and glued. 500 pieces. I will bring you a physical box to measure. What is the die charge, what is the per-piece price at 500, and how many working days?"</t>
        </is>
      </c>
    </row>
    <row r="13">
      <c r="A13" s="23" t="inlineStr">
        <is>
          <t>THE THREE THINGS THAT DECIDE THE PRICE</t>
        </is>
      </c>
    </row>
    <row r="14">
      <c r="A14" t="inlineStr">
        <is>
          <t>1. DIE CHARGE - a one-time Rs 1,500-3,000 for the cutting die. Ask if it is reusable for Drop 02 (it is - same size box). This is why drop 2 gets cheaper.</t>
        </is>
      </c>
    </row>
    <row r="15">
      <c r="A15" t="inlineStr">
        <is>
          <t>2. DIGITAL vs OFFSET - at 500 pieces you want DIGITAL. Offset means printing plates, which only pay off above roughly 2,000 pieces.</t>
        </is>
      </c>
    </row>
    <row r="16">
      <c r="A16" t="inlineStr">
        <is>
          <t>3. FINISHES - foil, spot UV and embossing each add a pass and real money. Skip all three on Drop 01. Matte lamination only.</t>
        </is>
      </c>
    </row>
    <row r="18">
      <c r="A18" s="23" t="inlineStr">
        <is>
          <t>STILL WORTH SEARCHING YOURSELF (your original notes, kept)</t>
        </is>
      </c>
    </row>
    <row r="19" ht="32" customHeight="1">
      <c r="A19" s="24" t="inlineStr">
        <is>
          <t>Google Maps: 'packaging printing Shivajinagar Pune', 'digital printing Kothrud', 'box printing Bhosari / Pimpri'</t>
        </is>
      </c>
      <c r="B19" s="24" t="inlineStr">
        <is>
          <t>Short-run printed outer matchbox sleeve: 300gsm board, die-cut, folded &amp; glued, matte lamination. Optional: spot UV, foil, embossing.</t>
        </is>
      </c>
    </row>
    <row r="20" ht="32" customHeight="1">
      <c r="A20" s="24" t="inlineStr">
        <is>
          <t>IndiaMART: 'small box printing Pune', 'monocarton printing Pune'</t>
        </is>
      </c>
      <c r="B20" s="24" t="inlineStr">
        <is>
          <t>Same as above. Send them one plain box so they measure it exactly.</t>
        </is>
      </c>
    </row>
    <row r="21" ht="32" customHeight="1">
      <c r="A21" s="24" t="inlineStr">
        <is>
          <t>Local: ask any wedding-card printer in Pune (they do premium die-cut short runs)</t>
        </is>
      </c>
      <c r="B21" s="24" t="inlineStr">
        <is>
          <t>Premium finish, small quantity.</t>
        </is>
      </c>
    </row>
    <row r="23">
      <c r="A23" s="25" t="inlineStr">
        <is>
          <t>NOTE: every phone number above is UNVERIFIED. Company websites and IndiaMART are blocked on the machine I ran this from, so I took these from public directory listings dated 12 Sep 2026. Confirm each one before you rely on it. I invented nothing - where nothing was published, the cell says NOT FOUND.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0" customWidth="1" min="4" max="4"/>
    <col width="34" customWidth="1" min="5" max="5"/>
    <col width="22" customWidth="1" min="6" max="6"/>
    <col width="52" customWidth="1" min="7" max="7"/>
  </cols>
  <sheetData>
    <row r="1" ht="30" customHeight="1">
      <c r="A1" s="26" t="inlineStr">
        <is>
          <t>STOCK TRACKER - update this every time something arrives or leaves</t>
        </is>
      </c>
    </row>
    <row r="3">
      <c r="A3" s="27" t="inlineStr">
        <is>
          <t>PLAIN TRAYS LEFT</t>
        </is>
      </c>
      <c r="C3" s="27" t="inlineStr">
        <is>
          <t>PRINTED OUTERS LEFT</t>
        </is>
      </c>
      <c r="E3" s="27" t="inlineStr">
        <is>
          <t>FINISHED BOXES READY</t>
        </is>
      </c>
      <c r="G3" s="27" t="inlineStr">
        <is>
          <t>COST PER FINISHED BOX (Rs)</t>
        </is>
      </c>
    </row>
    <row r="4">
      <c r="A4" s="28">
        <f>SUM(B9:B28)-SUM(C9:C28)</f>
        <v/>
      </c>
      <c r="C4" s="28">
        <f>SUM(C33:C42)-SUM(E33:E42)</f>
        <v/>
      </c>
      <c r="E4" s="28">
        <f>SUM(C47:C56)-SUM(D47:D56)-SUM(E47:E56)-SUM(F47:F56)</f>
        <v/>
      </c>
      <c r="G4" s="28">
        <f>IFERROR(ROUND(SUMPRODUCT(D9:D28)/MAX(1,SUM(B9:B28)),2)+IFERROR(ROUND(SUM(D33:D42)/MAX(1,SUM(C33:C42)),2),0),0)</f>
        <v/>
      </c>
    </row>
    <row r="5">
      <c r="A5" s="29" t="inlineStr">
        <is>
          <t>These four update themselves. Everything below is what you type in.</t>
        </is>
      </c>
    </row>
    <row r="7" ht="26" customHeight="1">
      <c r="A7" s="30" t="inlineStr">
        <is>
          <t>1. PLAIN MATCH TRAYS  -  bought once in bulk, used across every drop</t>
        </is>
      </c>
    </row>
    <row r="8">
      <c r="A8" s="31" t="inlineStr">
        <is>
          <t>Date</t>
        </is>
      </c>
      <c r="B8" s="31" t="inlineStr">
        <is>
          <t>Trays IN</t>
        </is>
      </c>
      <c r="C8" s="31" t="inlineStr">
        <is>
          <t>Trays OUT (used)</t>
        </is>
      </c>
      <c r="D8" s="31" t="inlineStr">
        <is>
          <t>Money paid (Rs)</t>
        </is>
      </c>
      <c r="E8" s="31" t="inlineStr">
        <is>
          <t>Vendor / where it went</t>
        </is>
      </c>
      <c r="F8" s="31" t="inlineStr">
        <is>
          <t>Cost per tray (Rs)</t>
        </is>
      </c>
      <c r="G8" s="31" t="inlineStr">
        <is>
          <t>Note</t>
        </is>
      </c>
    </row>
    <row r="9">
      <c r="A9" s="32" t="inlineStr">
        <is>
          <t>e.g. 2026-10-18</t>
        </is>
      </c>
      <c r="B9" s="32" t="n">
        <v>1000</v>
      </c>
      <c r="C9" s="32" t="n"/>
      <c r="D9" s="32" t="n">
        <v>4500</v>
      </c>
      <c r="E9" s="32" t="inlineStr">
        <is>
          <t>first bulk order - vendor name</t>
        </is>
      </c>
      <c r="F9" s="32">
        <f>IFERROR(D9/B9,"")</f>
        <v/>
      </c>
      <c r="G9" s="32" t="inlineStr">
        <is>
          <t>EXAMPLE - type over this</t>
        </is>
      </c>
    </row>
    <row r="10">
      <c r="A10" s="33" t="n"/>
      <c r="B10" s="33" t="n"/>
      <c r="C10" s="33" t="n"/>
      <c r="D10" s="33" t="n"/>
      <c r="E10" s="33" t="n"/>
      <c r="F10" s="33">
        <f>IFERROR(D10/B10,"")</f>
        <v/>
      </c>
      <c r="G10" s="33" t="n"/>
    </row>
    <row r="11">
      <c r="A11" s="33" t="n"/>
      <c r="B11" s="33" t="n"/>
      <c r="C11" s="33" t="n"/>
      <c r="D11" s="33" t="n"/>
      <c r="E11" s="33" t="n"/>
      <c r="F11" s="33">
        <f>IFERROR(D11/B11,"")</f>
        <v/>
      </c>
      <c r="G11" s="33" t="n"/>
    </row>
    <row r="12">
      <c r="A12" s="33" t="n"/>
      <c r="B12" s="33" t="n"/>
      <c r="C12" s="33" t="n"/>
      <c r="D12" s="33" t="n"/>
      <c r="E12" s="33" t="n"/>
      <c r="F12" s="33">
        <f>IFERROR(D12/B12,"")</f>
        <v/>
      </c>
      <c r="G12" s="33" t="n"/>
    </row>
    <row r="13">
      <c r="A13" s="33" t="n"/>
      <c r="B13" s="33" t="n"/>
      <c r="C13" s="33" t="n"/>
      <c r="D13" s="33" t="n"/>
      <c r="E13" s="33" t="n"/>
      <c r="F13" s="33">
        <f>IFERROR(D13/B13,"")</f>
        <v/>
      </c>
      <c r="G13" s="33" t="n"/>
    </row>
    <row r="14">
      <c r="A14" s="33" t="n"/>
      <c r="B14" s="33" t="n"/>
      <c r="C14" s="33" t="n"/>
      <c r="D14" s="33" t="n"/>
      <c r="E14" s="33" t="n"/>
      <c r="F14" s="33">
        <f>IFERROR(D14/B14,"")</f>
        <v/>
      </c>
      <c r="G14" s="33" t="n"/>
    </row>
    <row r="15">
      <c r="A15" s="33" t="n"/>
      <c r="B15" s="33" t="n"/>
      <c r="C15" s="33" t="n"/>
      <c r="D15" s="33" t="n"/>
      <c r="E15" s="33" t="n"/>
      <c r="F15" s="33">
        <f>IFERROR(D15/B15,"")</f>
        <v/>
      </c>
      <c r="G15" s="33" t="n"/>
    </row>
    <row r="16">
      <c r="A16" s="33" t="n"/>
      <c r="B16" s="33" t="n"/>
      <c r="C16" s="33" t="n"/>
      <c r="D16" s="33" t="n"/>
      <c r="E16" s="33" t="n"/>
      <c r="F16" s="33">
        <f>IFERROR(D16/B16,"")</f>
        <v/>
      </c>
      <c r="G16" s="33" t="n"/>
    </row>
    <row r="17">
      <c r="A17" s="33" t="n"/>
      <c r="B17" s="33" t="n"/>
      <c r="C17" s="33" t="n"/>
      <c r="D17" s="33" t="n"/>
      <c r="E17" s="33" t="n"/>
      <c r="F17" s="33">
        <f>IFERROR(D17/B17,"")</f>
        <v/>
      </c>
      <c r="G17" s="33" t="n"/>
    </row>
    <row r="18">
      <c r="A18" s="33" t="n"/>
      <c r="B18" s="33" t="n"/>
      <c r="C18" s="33" t="n"/>
      <c r="D18" s="33" t="n"/>
      <c r="E18" s="33" t="n"/>
      <c r="F18" s="33">
        <f>IFERROR(D18/B18,"")</f>
        <v/>
      </c>
      <c r="G18" s="33" t="n"/>
    </row>
    <row r="19">
      <c r="A19" s="33" t="n"/>
      <c r="B19" s="33" t="n"/>
      <c r="C19" s="33" t="n"/>
      <c r="D19" s="33" t="n"/>
      <c r="E19" s="33" t="n"/>
      <c r="F19" s="33">
        <f>IFERROR(D19/B19,"")</f>
        <v/>
      </c>
      <c r="G19" s="33" t="n"/>
    </row>
    <row r="20">
      <c r="A20" s="33" t="n"/>
      <c r="B20" s="33" t="n"/>
      <c r="C20" s="33" t="n"/>
      <c r="D20" s="33" t="n"/>
      <c r="E20" s="33" t="n"/>
      <c r="F20" s="33">
        <f>IFERROR(D20/B20,"")</f>
        <v/>
      </c>
      <c r="G20" s="33" t="n"/>
    </row>
    <row r="21">
      <c r="A21" s="33" t="n"/>
      <c r="B21" s="33" t="n"/>
      <c r="C21" s="33" t="n"/>
      <c r="D21" s="33" t="n"/>
      <c r="E21" s="33" t="n"/>
      <c r="F21" s="33">
        <f>IFERROR(D21/B21,"")</f>
        <v/>
      </c>
      <c r="G21" s="33" t="n"/>
    </row>
    <row r="22">
      <c r="A22" s="33" t="n"/>
      <c r="B22" s="33" t="n"/>
      <c r="C22" s="33" t="n"/>
      <c r="D22" s="33" t="n"/>
      <c r="E22" s="33" t="n"/>
      <c r="F22" s="33">
        <f>IFERROR(D22/B22,"")</f>
        <v/>
      </c>
      <c r="G22" s="33" t="n"/>
    </row>
    <row r="23">
      <c r="A23" s="33" t="n"/>
      <c r="B23" s="33" t="n"/>
      <c r="C23" s="33" t="n"/>
      <c r="D23" s="33" t="n"/>
      <c r="E23" s="33" t="n"/>
      <c r="F23" s="33">
        <f>IFERROR(D23/B23,"")</f>
        <v/>
      </c>
      <c r="G23" s="33" t="n"/>
    </row>
    <row r="24">
      <c r="A24" s="33" t="n"/>
      <c r="B24" s="33" t="n"/>
      <c r="C24" s="33" t="n"/>
      <c r="D24" s="33" t="n"/>
      <c r="E24" s="33" t="n"/>
      <c r="F24" s="33">
        <f>IFERROR(D24/B24,"")</f>
        <v/>
      </c>
      <c r="G24" s="33" t="n"/>
    </row>
    <row r="25">
      <c r="A25" s="33" t="n"/>
      <c r="B25" s="33" t="n"/>
      <c r="C25" s="33" t="n"/>
      <c r="D25" s="33" t="n"/>
      <c r="E25" s="33" t="n"/>
      <c r="F25" s="33">
        <f>IFERROR(D25/B25,"")</f>
        <v/>
      </c>
      <c r="G25" s="33" t="n"/>
    </row>
    <row r="26">
      <c r="A26" s="33" t="n"/>
      <c r="B26" s="33" t="n"/>
      <c r="C26" s="33" t="n"/>
      <c r="D26" s="33" t="n"/>
      <c r="E26" s="33" t="n"/>
      <c r="F26" s="33">
        <f>IFERROR(D26/B26,"")</f>
        <v/>
      </c>
      <c r="G26" s="33" t="n"/>
    </row>
    <row r="27">
      <c r="A27" s="33" t="n"/>
      <c r="B27" s="33" t="n"/>
      <c r="C27" s="33" t="n"/>
      <c r="D27" s="33" t="n"/>
      <c r="E27" s="33" t="n"/>
      <c r="F27" s="33">
        <f>IFERROR(D27/B27,"")</f>
        <v/>
      </c>
      <c r="G27" s="33" t="n"/>
    </row>
    <row r="28">
      <c r="A28" s="33" t="n"/>
      <c r="B28" s="33" t="n"/>
      <c r="C28" s="33" t="n"/>
      <c r="D28" s="33" t="n"/>
      <c r="E28" s="33" t="n"/>
      <c r="F28" s="33">
        <f>IFERROR(D28/B28,"")</f>
        <v/>
      </c>
      <c r="G28" s="33" t="n"/>
    </row>
    <row r="31" ht="26" customHeight="1">
      <c r="A31" s="30" t="inlineStr">
        <is>
          <t>2. PRINTED OUTER BOXES  -  new artwork printed for every drop</t>
        </is>
      </c>
    </row>
    <row r="32">
      <c r="A32" s="31" t="inlineStr">
        <is>
          <t>Drop</t>
        </is>
      </c>
      <c r="B32" s="31" t="inlineStr">
        <is>
          <t>Artwork name</t>
        </is>
      </c>
      <c r="C32" s="31" t="inlineStr">
        <is>
          <t>Outers IN</t>
        </is>
      </c>
      <c r="D32" s="31" t="inlineStr">
        <is>
          <t>Money paid (Rs)</t>
        </is>
      </c>
      <c r="E32" s="31" t="inlineStr">
        <is>
          <t>Outers USED</t>
        </is>
      </c>
      <c r="F32" s="31" t="inlineStr">
        <is>
          <t>Cost per outer (Rs)</t>
        </is>
      </c>
      <c r="G32" s="31" t="inlineStr">
        <is>
          <t>Printer + date ordered</t>
        </is>
      </c>
    </row>
    <row r="33">
      <c r="A33" s="32" t="inlineStr">
        <is>
          <t>Drop 01</t>
        </is>
      </c>
      <c r="B33" s="32" t="inlineStr">
        <is>
          <t>e.g. Loadshedding</t>
        </is>
      </c>
      <c r="C33" s="32" t="n">
        <v>500</v>
      </c>
      <c r="D33" s="32" t="n">
        <v>5500</v>
      </c>
      <c r="E33" s="32" t="n"/>
      <c r="F33" s="32">
        <f>IFERROR(D33/C33,"")</f>
        <v/>
      </c>
      <c r="G33" s="32" t="inlineStr">
        <is>
          <t>EXAMPLE - type over this</t>
        </is>
      </c>
    </row>
    <row r="34">
      <c r="A34" s="33" t="n"/>
      <c r="B34" s="33" t="n"/>
      <c r="C34" s="33" t="n"/>
      <c r="D34" s="33" t="n"/>
      <c r="E34" s="33" t="n"/>
      <c r="F34" s="33">
        <f>IFERROR(D34/C34,"")</f>
        <v/>
      </c>
      <c r="G34" s="33" t="n"/>
    </row>
    <row r="35">
      <c r="A35" s="33" t="n"/>
      <c r="B35" s="33" t="n"/>
      <c r="C35" s="33" t="n"/>
      <c r="D35" s="33" t="n"/>
      <c r="E35" s="33" t="n"/>
      <c r="F35" s="33">
        <f>IFERROR(D35/C35,"")</f>
        <v/>
      </c>
      <c r="G35" s="33" t="n"/>
    </row>
    <row r="36">
      <c r="A36" s="33" t="n"/>
      <c r="B36" s="33" t="n"/>
      <c r="C36" s="33" t="n"/>
      <c r="D36" s="33" t="n"/>
      <c r="E36" s="33" t="n"/>
      <c r="F36" s="33">
        <f>IFERROR(D36/C36,"")</f>
        <v/>
      </c>
      <c r="G36" s="33" t="n"/>
    </row>
    <row r="37">
      <c r="A37" s="33" t="n"/>
      <c r="B37" s="33" t="n"/>
      <c r="C37" s="33" t="n"/>
      <c r="D37" s="33" t="n"/>
      <c r="E37" s="33" t="n"/>
      <c r="F37" s="33">
        <f>IFERROR(D37/C37,"")</f>
        <v/>
      </c>
      <c r="G37" s="33" t="n"/>
    </row>
    <row r="38">
      <c r="A38" s="33" t="n"/>
      <c r="B38" s="33" t="n"/>
      <c r="C38" s="33" t="n"/>
      <c r="D38" s="33" t="n"/>
      <c r="E38" s="33" t="n"/>
      <c r="F38" s="33">
        <f>IFERROR(D38/C38,"")</f>
        <v/>
      </c>
      <c r="G38" s="33" t="n"/>
    </row>
    <row r="39">
      <c r="A39" s="33" t="n"/>
      <c r="B39" s="33" t="n"/>
      <c r="C39" s="33" t="n"/>
      <c r="D39" s="33" t="n"/>
      <c r="E39" s="33" t="n"/>
      <c r="F39" s="33">
        <f>IFERROR(D39/C39,"")</f>
        <v/>
      </c>
      <c r="G39" s="33" t="n"/>
    </row>
    <row r="40">
      <c r="A40" s="33" t="n"/>
      <c r="B40" s="33" t="n"/>
      <c r="C40" s="33" t="n"/>
      <c r="D40" s="33" t="n"/>
      <c r="E40" s="33" t="n"/>
      <c r="F40" s="33">
        <f>IFERROR(D40/C40,"")</f>
        <v/>
      </c>
      <c r="G40" s="33" t="n"/>
    </row>
    <row r="41">
      <c r="A41" s="33" t="n"/>
      <c r="B41" s="33" t="n"/>
      <c r="C41" s="33" t="n"/>
      <c r="D41" s="33" t="n"/>
      <c r="E41" s="33" t="n"/>
      <c r="F41" s="33">
        <f>IFERROR(D41/C41,"")</f>
        <v/>
      </c>
      <c r="G41" s="33" t="n"/>
    </row>
    <row r="42">
      <c r="A42" s="33" t="n"/>
      <c r="B42" s="33" t="n"/>
      <c r="C42" s="33" t="n"/>
      <c r="D42" s="33" t="n"/>
      <c r="E42" s="33" t="n"/>
      <c r="F42" s="33">
        <f>IFERROR(D42/C42,"")</f>
        <v/>
      </c>
      <c r="G42" s="33" t="n"/>
    </row>
    <row r="45" ht="26" customHeight="1">
      <c r="A45" s="30" t="inlineStr">
        <is>
          <t>3. FINISHED BOXES  -  tray slid into printed outer, ready to sell</t>
        </is>
      </c>
    </row>
    <row r="46">
      <c r="A46" s="31" t="inlineStr">
        <is>
          <t>Drop</t>
        </is>
      </c>
      <c r="B46" s="31" t="inlineStr">
        <is>
          <t>Date</t>
        </is>
      </c>
      <c r="C46" s="31" t="inlineStr">
        <is>
          <t>Made (sleeved)</t>
        </is>
      </c>
      <c r="D46" s="31" t="inlineStr">
        <is>
          <t>Sold</t>
        </is>
      </c>
      <c r="E46" s="31" t="inlineStr">
        <is>
          <t>Given away / seeded</t>
        </is>
      </c>
      <c r="F46" s="31" t="inlineStr">
        <is>
          <t>Damaged</t>
        </is>
      </c>
      <c r="G46" s="31" t="inlineStr">
        <is>
          <t>Left</t>
        </is>
      </c>
    </row>
    <row r="47">
      <c r="A47" s="33" t="n"/>
      <c r="B47" s="33" t="n"/>
      <c r="C47" s="33" t="n"/>
      <c r="D47" s="33" t="n"/>
      <c r="E47" s="33" t="n"/>
      <c r="F47" s="33" t="n"/>
      <c r="G47" s="33">
        <f>IFERROR(C47-D47-E47-F47,"")</f>
        <v/>
      </c>
    </row>
    <row r="48">
      <c r="A48" s="33" t="n"/>
      <c r="B48" s="33" t="n"/>
      <c r="C48" s="33" t="n"/>
      <c r="D48" s="33" t="n"/>
      <c r="E48" s="33" t="n"/>
      <c r="F48" s="33" t="n"/>
      <c r="G48" s="33">
        <f>IFERROR(C48-D48-E48-F48,"")</f>
        <v/>
      </c>
    </row>
    <row r="49">
      <c r="A49" s="33" t="n"/>
      <c r="B49" s="33" t="n"/>
      <c r="C49" s="33" t="n"/>
      <c r="D49" s="33" t="n"/>
      <c r="E49" s="33" t="n"/>
      <c r="F49" s="33" t="n"/>
      <c r="G49" s="33">
        <f>IFERROR(C49-D49-E49-F49,"")</f>
        <v/>
      </c>
    </row>
    <row r="50">
      <c r="A50" s="33" t="n"/>
      <c r="B50" s="33" t="n"/>
      <c r="C50" s="33" t="n"/>
      <c r="D50" s="33" t="n"/>
      <c r="E50" s="33" t="n"/>
      <c r="F50" s="33" t="n"/>
      <c r="G50" s="33">
        <f>IFERROR(C50-D50-E50-F50,"")</f>
        <v/>
      </c>
    </row>
    <row r="51">
      <c r="A51" s="33" t="n"/>
      <c r="B51" s="33" t="n"/>
      <c r="C51" s="33" t="n"/>
      <c r="D51" s="33" t="n"/>
      <c r="E51" s="33" t="n"/>
      <c r="F51" s="33" t="n"/>
      <c r="G51" s="33">
        <f>IFERROR(C51-D51-E51-F51,"")</f>
        <v/>
      </c>
    </row>
    <row r="52">
      <c r="A52" s="33" t="n"/>
      <c r="B52" s="33" t="n"/>
      <c r="C52" s="33" t="n"/>
      <c r="D52" s="33" t="n"/>
      <c r="E52" s="33" t="n"/>
      <c r="F52" s="33" t="n"/>
      <c r="G52" s="33">
        <f>IFERROR(C52-D52-E52-F52,"")</f>
        <v/>
      </c>
    </row>
    <row r="53">
      <c r="A53" s="33" t="n"/>
      <c r="B53" s="33" t="n"/>
      <c r="C53" s="33" t="n"/>
      <c r="D53" s="33" t="n"/>
      <c r="E53" s="33" t="n"/>
      <c r="F53" s="33" t="n"/>
      <c r="G53" s="33">
        <f>IFERROR(C53-D53-E53-F53,"")</f>
        <v/>
      </c>
    </row>
    <row r="54">
      <c r="A54" s="33" t="n"/>
      <c r="B54" s="33" t="n"/>
      <c r="C54" s="33" t="n"/>
      <c r="D54" s="33" t="n"/>
      <c r="E54" s="33" t="n"/>
      <c r="F54" s="33" t="n"/>
      <c r="G54" s="33">
        <f>IFERROR(C54-D54-E54-F54,"")</f>
        <v/>
      </c>
    </row>
    <row r="55">
      <c r="A55" s="33" t="n"/>
      <c r="B55" s="33" t="n"/>
      <c r="C55" s="33" t="n"/>
      <c r="D55" s="33" t="n"/>
      <c r="E55" s="33" t="n"/>
      <c r="F55" s="33" t="n"/>
      <c r="G55" s="33">
        <f>IFERROR(C55-D55-E55-F55,"")</f>
        <v/>
      </c>
    </row>
    <row r="56">
      <c r="A56" s="33" t="n"/>
      <c r="B56" s="33" t="n"/>
      <c r="C56" s="33" t="n"/>
      <c r="D56" s="33" t="n"/>
      <c r="E56" s="33" t="n"/>
      <c r="F56" s="33" t="n"/>
      <c r="G56" s="33">
        <f>IFERROR(C56-D56-E56-F56,"")</f>
        <v/>
      </c>
    </row>
    <row r="59" ht="26" customHeight="1">
      <c r="A59" s="30" t="inlineStr">
        <is>
          <t>4. WHEN TO RE-ORDER  -  do not think, just follow these</t>
        </is>
      </c>
    </row>
    <row r="60">
      <c r="A60" s="31" t="inlineStr">
        <is>
          <t>What</t>
        </is>
      </c>
      <c r="B60" s="31" t="inlineStr">
        <is>
          <t>The rule</t>
        </is>
      </c>
      <c r="C60" s="31" t="inlineStr">
        <is>
          <t>Why</t>
        </is>
      </c>
    </row>
    <row r="61" ht="34" customHeight="1">
      <c r="A61" s="34" t="inlineStr">
        <is>
          <t>TRAYS</t>
        </is>
      </c>
      <c r="B61" s="34" t="inlineStr">
        <is>
          <t>Re-order when TRAYS LEFT drops under 600.</t>
        </is>
      </c>
      <c r="C61" s="17" t="inlineStr">
        <is>
          <t>Lead time is 2-3 weeks from Sivakasi plus surface transport. 600 trays is roughly one drop of cover - just enough time.</t>
        </is>
      </c>
    </row>
    <row r="62" ht="34" customHeight="1">
      <c r="A62" s="34" t="inlineStr">
        <is>
          <t>OUTERS</t>
        </is>
      </c>
      <c r="B62" s="34" t="inlineStr">
        <is>
          <t>Order the next drop's outers the day the artwork is signed off.</t>
        </is>
      </c>
      <c r="C62" s="17" t="inlineStr">
        <is>
          <t>7-10 working days at a Pune digital printer. The die already exists after Drop 01, so Drop 02 should be cheaper - ask.</t>
        </is>
      </c>
    </row>
    <row r="63" ht="34" customHeight="1">
      <c r="A63" s="34" t="inlineStr">
        <is>
          <t>NEVER</t>
        </is>
      </c>
      <c r="B63" s="34" t="inlineStr">
        <is>
          <t>Never print more outers than you have trays for.</t>
        </is>
      </c>
      <c r="C63" s="17" t="inlineStr">
        <is>
          <t>An outer with no tray inside is a piece of folded card. Trays are the constraint, always.</t>
        </is>
      </c>
    </row>
    <row r="64" ht="34" customHeight="1">
      <c r="A64" s="34" t="inlineStr">
        <is>
          <t>NEVER</t>
        </is>
      </c>
      <c r="B64" s="34" t="inlineStr">
        <is>
          <t>Never pay a printer the full amount before you see the boxes.</t>
        </is>
      </c>
      <c r="C64" s="17" t="inlineStr">
        <is>
          <t>50% advance, 50% on delivery. Say it on the first call so it is not a fight later.</t>
        </is>
      </c>
    </row>
    <row r="65" ht="34" customHeight="1">
      <c r="A65" s="34" t="inlineStr">
        <is>
          <t>CHECK</t>
        </is>
      </c>
      <c r="B65" s="34" t="inlineStr">
        <is>
          <t>Count the trays yourself the day they land.</t>
        </is>
      </c>
      <c r="C65" s="17" t="inlineStr">
        <is>
          <t>Sivakasi orders arrive by surface transport in loose cartons. Short deliveries are normal and only get fixed if you flag them in 48 hours.</t>
        </is>
      </c>
    </row>
  </sheetData>
  <mergeCells count="5">
    <mergeCell ref="A1:G1"/>
    <mergeCell ref="A31:G31"/>
    <mergeCell ref="A7:G7"/>
    <mergeCell ref="A59:G59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2026-09-12T17:54:00Z</dcterms:created>
  <dcterms:modified xsi:type="dcterms:W3CDTF">2026-09-12T18:23:51Z</dcterms:modified>
</cp:coreProperties>
</file>